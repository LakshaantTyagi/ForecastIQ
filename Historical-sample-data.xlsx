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dio365-my.sharepoint.com/personal/ltyagi_godfreyphillips_co_in/Documents/"/>
    </mc:Choice>
  </mc:AlternateContent>
  <xr:revisionPtr revIDLastSave="86" documentId="13_ncr:1_{D61E9FF8-6F60-4DFA-B0C5-2E8A4CE1FD59}" xr6:coauthVersionLast="47" xr6:coauthVersionMax="47" xr10:uidLastSave="{B97C5BA6-EF69-4A11-BB9F-1E577DC58289}"/>
  <bookViews>
    <workbookView xWindow="-120" yWindow="-120" windowWidth="20730" windowHeight="11040" activeTab="1" xr2:uid="{554E9B08-28DF-4687-A8CB-C86E3A82B5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</calcChain>
</file>

<file path=xl/sharedStrings.xml><?xml version="1.0" encoding="utf-8"?>
<sst xmlns="http://schemas.openxmlformats.org/spreadsheetml/2006/main" count="6" uniqueCount="4">
  <si>
    <t>Month</t>
  </si>
  <si>
    <t>Sales Qty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</si>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</sst>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A1A1A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7" fontId="0" fillId="0" borderId="0" xfId="0" applyNumberFormat="1"/>
    <xf numFmtId="17" fontId="1" fillId="0" borderId="0" xfId="0" applyNumberFormat="1" applyFont="1" applyAlignment="1">
      <alignment horizontal="left" vertical="center" wrapText="1" indent="1"/>
    </xf>
    <xf numFmtId="3" fontId="0" fillId="0" borderId="0" xfId="0" applyNumberFormat="1"/>
    <xf numFmtId="17" fontId="1" fillId="2" borderId="0" xfId="0" applyNumberFormat="1" applyFont="1" applyFill="1" applyAlignment="1">
      <alignment horizontal="left" vertical="center" wrapText="1" indent="1"/>
    </xf>
    <xf numFmtId="3" fontId="0" fillId="2" borderId="0" xfId="0" applyNumberFormat="1" applyFill="1"/>
    <xf numFmtId="17" fontId="1" fillId="3" borderId="0" xfId="0" applyNumberFormat="1" applyFont="1" applyFill="1" applyAlignment="1">
      <alignment horizontal="left" vertical="center" wrapText="1" indent="1"/>
    </xf>
    <xf numFmtId="3" fontId="0" fillId="3" borderId="0" xfId="0" applyNumberFormat="1" applyFill="1"/>
    <xf numFmtId="10" fontId="0" fillId="0" borderId="0" xfId="1" applyNumberFormat="1" applyFont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 vertical="center" wrapText="1" indent="1"/>
    </xf>
  </cellXfs>
  <cellStyles count="2">
    <cellStyle name="Normal" xfId="0" builtinId="0"/>
    <cellStyle name="Percent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A1A1A"/>
        <name val="Arial"/>
        <family val="2"/>
        <scheme val="none"/>
      </font>
      <numFmt numFmtId="1" formatCode="0"/>
      <alignment horizontal="right" vertical="center" textRotation="0" wrapText="1" indent="1" justifyLastLine="0" shrinkToFit="0" readingOrder="0"/>
    </dxf>
    <dxf>
      <numFmt numFmtId="14" formatCode="0.00%"/>
    </dxf>
    <dxf>
      <numFmt numFmtId="3" formatCode="#,##0"/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A1A1A"/>
        <name val="Arial"/>
        <family val="2"/>
        <scheme val="none"/>
      </font>
      <numFmt numFmtId="22" formatCode="mmm/yy"/>
      <fill>
        <patternFill patternType="solid">
          <fgColor indexed="64"/>
          <bgColor theme="7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 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Sheet2!$A$2:$A$52</c:f>
              <c:numCache>
                <c:formatCode>mmm\-yy</c:formatCode>
                <c:ptCount val="51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  <c:pt idx="36">
                  <c:v>45748</c:v>
                </c:pt>
                <c:pt idx="37">
                  <c:v>45778</c:v>
                </c:pt>
                <c:pt idx="38">
                  <c:v>45809</c:v>
                </c:pt>
                <c:pt idx="39">
                  <c:v>45839</c:v>
                </c:pt>
                <c:pt idx="40">
                  <c:v>45870</c:v>
                </c:pt>
                <c:pt idx="41">
                  <c:v>45901</c:v>
                </c:pt>
                <c:pt idx="42">
                  <c:v>45931</c:v>
                </c:pt>
                <c:pt idx="43">
                  <c:v>45962</c:v>
                </c:pt>
                <c:pt idx="44">
                  <c:v>45992</c:v>
                </c:pt>
                <c:pt idx="45">
                  <c:v>46023</c:v>
                </c:pt>
                <c:pt idx="46">
                  <c:v>46054</c:v>
                </c:pt>
                <c:pt idx="47">
                  <c:v>46082</c:v>
                </c:pt>
                <c:pt idx="48">
                  <c:v>46113</c:v>
                </c:pt>
                <c:pt idx="49">
                  <c:v>46143</c:v>
                </c:pt>
                <c:pt idx="50">
                  <c:v>46174</c:v>
                </c:pt>
              </c:numCache>
            </c:numRef>
          </c:cat>
          <c:val>
            <c:numRef>
              <c:f>Sheet2!$B$2:$B$52</c:f>
              <c:numCache>
                <c:formatCode>General</c:formatCode>
                <c:ptCount val="51"/>
                <c:pt idx="0">
                  <c:v>10241.799999999999</c:v>
                </c:pt>
                <c:pt idx="1">
                  <c:v>14252.6</c:v>
                </c:pt>
                <c:pt idx="2">
                  <c:v>12102</c:v>
                </c:pt>
                <c:pt idx="3">
                  <c:v>11377</c:v>
                </c:pt>
                <c:pt idx="4">
                  <c:v>12833</c:v>
                </c:pt>
                <c:pt idx="5">
                  <c:v>8963</c:v>
                </c:pt>
                <c:pt idx="6">
                  <c:v>14891</c:v>
                </c:pt>
                <c:pt idx="7">
                  <c:v>9739</c:v>
                </c:pt>
                <c:pt idx="8">
                  <c:v>14634.4</c:v>
                </c:pt>
                <c:pt idx="9">
                  <c:v>11158</c:v>
                </c:pt>
                <c:pt idx="10">
                  <c:v>9007</c:v>
                </c:pt>
                <c:pt idx="11">
                  <c:v>8817</c:v>
                </c:pt>
                <c:pt idx="12">
                  <c:v>10793</c:v>
                </c:pt>
                <c:pt idx="13">
                  <c:v>7788.2</c:v>
                </c:pt>
                <c:pt idx="14">
                  <c:v>9802</c:v>
                </c:pt>
                <c:pt idx="15">
                  <c:v>12302.95</c:v>
                </c:pt>
                <c:pt idx="16">
                  <c:v>9872</c:v>
                </c:pt>
                <c:pt idx="17">
                  <c:v>10177.799999999999</c:v>
                </c:pt>
                <c:pt idx="18">
                  <c:v>9929.6</c:v>
                </c:pt>
                <c:pt idx="19">
                  <c:v>8093</c:v>
                </c:pt>
                <c:pt idx="20">
                  <c:v>9762.7999999999993</c:v>
                </c:pt>
                <c:pt idx="21">
                  <c:v>10450.4</c:v>
                </c:pt>
                <c:pt idx="22">
                  <c:v>10814.8</c:v>
                </c:pt>
                <c:pt idx="23">
                  <c:v>12300.6</c:v>
                </c:pt>
                <c:pt idx="24">
                  <c:v>11211.4</c:v>
                </c:pt>
                <c:pt idx="25">
                  <c:v>14857.4</c:v>
                </c:pt>
                <c:pt idx="26">
                  <c:v>14204</c:v>
                </c:pt>
                <c:pt idx="27">
                  <c:v>13283.8</c:v>
                </c:pt>
                <c:pt idx="28">
                  <c:v>15137.2</c:v>
                </c:pt>
                <c:pt idx="29">
                  <c:v>15817.74</c:v>
                </c:pt>
                <c:pt idx="30">
                  <c:v>15841</c:v>
                </c:pt>
                <c:pt idx="31">
                  <c:v>15700</c:v>
                </c:pt>
                <c:pt idx="32">
                  <c:v>18149</c:v>
                </c:pt>
                <c:pt idx="33">
                  <c:v>21809</c:v>
                </c:pt>
                <c:pt idx="34">
                  <c:v>17880</c:v>
                </c:pt>
                <c:pt idx="35">
                  <c:v>18628</c:v>
                </c:pt>
                <c:pt idx="36">
                  <c:v>23106</c:v>
                </c:pt>
                <c:pt idx="37">
                  <c:v>24618</c:v>
                </c:pt>
                <c:pt idx="38">
                  <c:v>26736</c:v>
                </c:pt>
                <c:pt idx="39" formatCode="#,##0">
                  <c:v>28697</c:v>
                </c:pt>
                <c:pt idx="40" formatCode="#,##0">
                  <c:v>29438</c:v>
                </c:pt>
                <c:pt idx="41" formatCode="#,##0">
                  <c:v>30578</c:v>
                </c:pt>
                <c:pt idx="42" formatCode="#,##0">
                  <c:v>32591</c:v>
                </c:pt>
                <c:pt idx="43" formatCode="#,##0">
                  <c:v>33722</c:v>
                </c:pt>
                <c:pt idx="44" formatCode="#,##0">
                  <c:v>35437</c:v>
                </c:pt>
                <c:pt idx="45" formatCode="#,##0">
                  <c:v>36181</c:v>
                </c:pt>
                <c:pt idx="46" formatCode="#,##0">
                  <c:v>39133</c:v>
                </c:pt>
                <c:pt idx="47" formatCode="#,##0">
                  <c:v>41207</c:v>
                </c:pt>
                <c:pt idx="48" formatCode="#,##0">
                  <c:v>41912</c:v>
                </c:pt>
                <c:pt idx="49" formatCode="#,##0">
                  <c:v>43871</c:v>
                </c:pt>
                <c:pt idx="50" formatCode="#,##0">
                  <c:v>45916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3-48AE-989C-E27215AC9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658944"/>
        <c:axId val="680659424"/>
      </c:lineChart>
      <c:dateAx>
        <c:axId val="6806589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659424"/>
        <c:crosses val="autoZero"/>
        <c:auto val="1"/>
        <c:lblOffset val="100"/>
        <c:baseTimeUnit val="months"/>
      </c:dateAx>
      <c:valAx>
        <c:axId val="68065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65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3</xdr:row>
      <xdr:rowOff>90486</xdr:rowOff>
    </xdr:from>
    <xdr:to>
      <xdr:col>15</xdr:col>
      <xdr:colOff>428624</xdr:colOff>
      <xdr:row>22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5587D5-F594-641A-4016-69C67EA83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164A6-D6DA-4A16-9D0A-F5501156BCFC}" name="Table1" displayName="Table1" ref="A1:D52" totalsRowShown="0">
  <autoFilter ref="A1:D52" xr:uid="{96C164A6-D6DA-4A16-9D0A-F5501156BCFC}"/>
  <tableColumns count="4">
    <tableColumn id="1" xr3:uid="{E2A416F5-E7BA-4EE2-A5A2-A79FE5FE5011}" name="Month" dataDxfId="3"/>
    <tableColumn id="2" xr3:uid="{312F2CFF-DAB1-4954-8EFB-4B92C2563988}" name="Sales Qty" dataDxfId="2"/>
    <tableColumn id="3" xr3:uid="{92B36598-E45D-4154-B694-B43F8AE71584}" name="Column1" dataDxfId="1" dataCellStyle="Percent">
      <calculatedColumnFormula>(B2/B1) - 1</calculatedColumnFormula>
    </tableColumn>
    <tableColumn id="4" xr3:uid="{D2F5CDFB-721C-4F2E-8004-539A89A03F63}" name="Column2" dataDxfId="0">
      <calculatedColumnFormula>B2-B1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0454-6917-4F8E-B7E8-957B804B426C}">
  <dimension ref="A1:E52"/>
  <sheetViews>
    <sheetView topLeftCell="A31" workbookViewId="0">
      <selection sqref="A1:B40"/>
    </sheetView>
  </sheetViews>
  <sheetFormatPr defaultRowHeight="15" x14ac:dyDescent="0.25"/>
  <cols>
    <col min="1" max="1" width="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44652</v>
      </c>
      <c r="B2">
        <v>10241.799999999999</v>
      </c>
    </row>
    <row r="3" spans="1:2" x14ac:dyDescent="0.25">
      <c r="A3" s="1">
        <v>44682</v>
      </c>
      <c r="B3">
        <v>14252.6</v>
      </c>
    </row>
    <row r="4" spans="1:2" x14ac:dyDescent="0.25">
      <c r="A4" s="1">
        <v>44713</v>
      </c>
      <c r="B4">
        <v>12102</v>
      </c>
    </row>
    <row r="5" spans="1:2" x14ac:dyDescent="0.25">
      <c r="A5" s="1">
        <v>44743</v>
      </c>
      <c r="B5">
        <v>11377</v>
      </c>
    </row>
    <row r="6" spans="1:2" x14ac:dyDescent="0.25">
      <c r="A6" s="1">
        <v>44774</v>
      </c>
      <c r="B6">
        <v>12833</v>
      </c>
    </row>
    <row r="7" spans="1:2" x14ac:dyDescent="0.25">
      <c r="A7" s="1">
        <v>44805</v>
      </c>
      <c r="B7">
        <v>8963</v>
      </c>
    </row>
    <row r="8" spans="1:2" x14ac:dyDescent="0.25">
      <c r="A8" s="1">
        <v>44835</v>
      </c>
      <c r="B8">
        <v>14891</v>
      </c>
    </row>
    <row r="9" spans="1:2" x14ac:dyDescent="0.25">
      <c r="A9" s="1">
        <v>44866</v>
      </c>
      <c r="B9">
        <v>9739</v>
      </c>
    </row>
    <row r="10" spans="1:2" x14ac:dyDescent="0.25">
      <c r="A10" s="1">
        <v>44896</v>
      </c>
      <c r="B10">
        <v>14634.4</v>
      </c>
    </row>
    <row r="11" spans="1:2" x14ac:dyDescent="0.25">
      <c r="A11" s="1">
        <v>44927</v>
      </c>
      <c r="B11">
        <v>11158</v>
      </c>
    </row>
    <row r="12" spans="1:2" x14ac:dyDescent="0.25">
      <c r="A12" s="1">
        <v>44958</v>
      </c>
      <c r="B12">
        <v>9007</v>
      </c>
    </row>
    <row r="13" spans="1:2" x14ac:dyDescent="0.25">
      <c r="A13" s="1">
        <v>44986</v>
      </c>
      <c r="B13">
        <v>8817</v>
      </c>
    </row>
    <row r="14" spans="1:2" x14ac:dyDescent="0.25">
      <c r="A14" s="1">
        <v>45017</v>
      </c>
      <c r="B14">
        <v>10793</v>
      </c>
    </row>
    <row r="15" spans="1:2" x14ac:dyDescent="0.25">
      <c r="A15" s="1">
        <v>45047</v>
      </c>
      <c r="B15">
        <v>7788.2</v>
      </c>
    </row>
    <row r="16" spans="1:2" x14ac:dyDescent="0.25">
      <c r="A16" s="1">
        <v>45078</v>
      </c>
      <c r="B16">
        <v>9802</v>
      </c>
    </row>
    <row r="17" spans="1:2" x14ac:dyDescent="0.25">
      <c r="A17" s="1">
        <v>45108</v>
      </c>
      <c r="B17">
        <v>12302.95</v>
      </c>
    </row>
    <row r="18" spans="1:2" x14ac:dyDescent="0.25">
      <c r="A18" s="1">
        <v>45139</v>
      </c>
      <c r="B18">
        <v>9872</v>
      </c>
    </row>
    <row r="19" spans="1:2" x14ac:dyDescent="0.25">
      <c r="A19" s="1">
        <v>45170</v>
      </c>
      <c r="B19">
        <v>10177.799999999999</v>
      </c>
    </row>
    <row r="20" spans="1:2" x14ac:dyDescent="0.25">
      <c r="A20" s="1">
        <v>45200</v>
      </c>
      <c r="B20">
        <v>9929.6</v>
      </c>
    </row>
    <row r="21" spans="1:2" x14ac:dyDescent="0.25">
      <c r="A21" s="1">
        <v>45231</v>
      </c>
      <c r="B21">
        <v>8093</v>
      </c>
    </row>
    <row r="22" spans="1:2" x14ac:dyDescent="0.25">
      <c r="A22" s="1">
        <v>45261</v>
      </c>
      <c r="B22">
        <v>9762.7999999999993</v>
      </c>
    </row>
    <row r="23" spans="1:2" x14ac:dyDescent="0.25">
      <c r="A23" s="1">
        <v>45292</v>
      </c>
      <c r="B23">
        <v>10450.4</v>
      </c>
    </row>
    <row r="24" spans="1:2" x14ac:dyDescent="0.25">
      <c r="A24" s="1">
        <v>45323</v>
      </c>
      <c r="B24">
        <v>10814.8</v>
      </c>
    </row>
    <row r="25" spans="1:2" x14ac:dyDescent="0.25">
      <c r="A25" s="1">
        <v>45352</v>
      </c>
      <c r="B25">
        <v>12300.6</v>
      </c>
    </row>
    <row r="26" spans="1:2" x14ac:dyDescent="0.25">
      <c r="A26" s="1">
        <v>45383</v>
      </c>
      <c r="B26">
        <v>11211.4</v>
      </c>
    </row>
    <row r="27" spans="1:2" x14ac:dyDescent="0.25">
      <c r="A27" s="1">
        <v>45413</v>
      </c>
      <c r="B27">
        <v>14857.4</v>
      </c>
    </row>
    <row r="28" spans="1:2" x14ac:dyDescent="0.25">
      <c r="A28" s="1">
        <v>45444</v>
      </c>
      <c r="B28">
        <v>14204</v>
      </c>
    </row>
    <row r="29" spans="1:2" x14ac:dyDescent="0.25">
      <c r="A29" s="1">
        <v>45474</v>
      </c>
      <c r="B29">
        <v>13283.8</v>
      </c>
    </row>
    <row r="30" spans="1:2" x14ac:dyDescent="0.25">
      <c r="A30" s="1">
        <v>45505</v>
      </c>
      <c r="B30">
        <v>15137.2</v>
      </c>
    </row>
    <row r="31" spans="1:2" x14ac:dyDescent="0.25">
      <c r="A31" s="1">
        <v>45536</v>
      </c>
      <c r="B31">
        <v>15817.74</v>
      </c>
    </row>
    <row r="32" spans="1:2" x14ac:dyDescent="0.25">
      <c r="A32" s="1">
        <v>45566</v>
      </c>
      <c r="B32">
        <v>15841</v>
      </c>
    </row>
    <row r="33" spans="1:5" x14ac:dyDescent="0.25">
      <c r="A33" s="1">
        <v>45597</v>
      </c>
      <c r="B33">
        <v>15700</v>
      </c>
    </row>
    <row r="34" spans="1:5" x14ac:dyDescent="0.25">
      <c r="A34" s="1">
        <v>45627</v>
      </c>
      <c r="B34">
        <v>18149</v>
      </c>
    </row>
    <row r="35" spans="1:5" x14ac:dyDescent="0.25">
      <c r="A35" s="1">
        <v>45658</v>
      </c>
      <c r="B35">
        <v>21809</v>
      </c>
    </row>
    <row r="36" spans="1:5" x14ac:dyDescent="0.25">
      <c r="A36" s="1">
        <v>45689</v>
      </c>
      <c r="B36">
        <v>17880</v>
      </c>
    </row>
    <row r="37" spans="1:5" x14ac:dyDescent="0.25">
      <c r="A37" s="1">
        <v>45717</v>
      </c>
      <c r="B37">
        <v>18628</v>
      </c>
    </row>
    <row r="38" spans="1:5" x14ac:dyDescent="0.25">
      <c r="A38" s="1">
        <v>45748</v>
      </c>
      <c r="B38">
        <v>23106</v>
      </c>
    </row>
    <row r="39" spans="1:5" x14ac:dyDescent="0.25">
      <c r="A39" s="1">
        <v>45778</v>
      </c>
      <c r="B39">
        <v>24618</v>
      </c>
    </row>
    <row r="40" spans="1:5" x14ac:dyDescent="0.25">
      <c r="A40" s="1">
        <v>45809</v>
      </c>
      <c r="B40">
        <v>26736</v>
      </c>
    </row>
    <row r="41" spans="1:5" x14ac:dyDescent="0.25">
      <c r="A41" s="6"/>
      <c r="B41" s="7"/>
      <c r="D41" s="2"/>
      <c r="E41" s="3"/>
    </row>
    <row r="42" spans="1:5" x14ac:dyDescent="0.25">
      <c r="A42" s="6"/>
      <c r="B42" s="7"/>
      <c r="D42" s="2"/>
      <c r="E42" s="3"/>
    </row>
    <row r="43" spans="1:5" x14ac:dyDescent="0.25">
      <c r="A43" s="6"/>
      <c r="B43" s="7"/>
      <c r="D43" s="2"/>
      <c r="E43" s="3"/>
    </row>
    <row r="44" spans="1:5" x14ac:dyDescent="0.25">
      <c r="A44" s="6"/>
      <c r="B44" s="7"/>
      <c r="D44" s="2"/>
      <c r="E44" s="3"/>
    </row>
    <row r="45" spans="1:5" x14ac:dyDescent="0.25">
      <c r="A45" s="6"/>
      <c r="B45" s="7"/>
      <c r="D45" s="2"/>
      <c r="E45" s="3"/>
    </row>
    <row r="46" spans="1:5" x14ac:dyDescent="0.25">
      <c r="A46" s="6"/>
      <c r="B46" s="7"/>
      <c r="D46" s="2"/>
      <c r="E46" s="3"/>
    </row>
    <row r="47" spans="1:5" x14ac:dyDescent="0.25">
      <c r="A47" s="6"/>
      <c r="B47" s="7"/>
      <c r="D47" s="2"/>
      <c r="E47" s="3"/>
    </row>
    <row r="48" spans="1:5" x14ac:dyDescent="0.25">
      <c r="A48" s="6"/>
      <c r="B48" s="7"/>
      <c r="D48" s="2"/>
      <c r="E48" s="3"/>
    </row>
    <row r="49" spans="1:5" x14ac:dyDescent="0.25">
      <c r="A49" s="6"/>
      <c r="B49" s="7"/>
      <c r="D49" s="2"/>
      <c r="E49" s="3"/>
    </row>
    <row r="50" spans="1:5" x14ac:dyDescent="0.25">
      <c r="A50" s="6"/>
      <c r="B50" s="7"/>
      <c r="D50" s="2"/>
      <c r="E50" s="3"/>
    </row>
    <row r="51" spans="1:5" x14ac:dyDescent="0.25">
      <c r="A51" s="6"/>
      <c r="B51" s="7"/>
      <c r="D51" s="2"/>
      <c r="E51" s="3"/>
    </row>
    <row r="52" spans="1:5" x14ac:dyDescent="0.25">
      <c r="A52" s="6"/>
      <c r="B52" s="7"/>
      <c r="D52" s="2"/>
      <c r="E5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0319-820C-4F99-A305-ED2693810D57}">
  <dimension ref="A1:E52"/>
  <sheetViews>
    <sheetView tabSelected="1" topLeftCell="A34" workbookViewId="0">
      <selection activeCell="D48" sqref="D48"/>
    </sheetView>
  </sheetViews>
  <sheetFormatPr defaultRowHeight="15" x14ac:dyDescent="0.25"/>
  <cols>
    <col min="1" max="1" width="10" bestFit="1" customWidth="1"/>
    <col min="2" max="2" width="11.28515625" customWidth="1"/>
    <col min="4" max="4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44652</v>
      </c>
      <c r="B2">
        <v>10241.799999999999</v>
      </c>
      <c r="C2" s="8" t="e">
        <f t="shared" ref="C2:C33" si="0">(B2/B1) - 1</f>
        <v>#VALUE!</v>
      </c>
      <c r="D2" s="9" t="e">
        <f t="shared" ref="D2:D33" si="1">B2-B1</f>
        <v>#VALUE!</v>
      </c>
    </row>
    <row r="3" spans="1:4" x14ac:dyDescent="0.25">
      <c r="A3" s="1">
        <v>44682</v>
      </c>
      <c r="B3">
        <v>14252.6</v>
      </c>
      <c r="C3" s="8">
        <f t="shared" si="0"/>
        <v>0.3916108496553341</v>
      </c>
      <c r="D3" s="9">
        <f t="shared" si="1"/>
        <v>4010.8000000000011</v>
      </c>
    </row>
    <row r="4" spans="1:4" x14ac:dyDescent="0.25">
      <c r="A4" s="1">
        <v>44713</v>
      </c>
      <c r="B4">
        <v>12102</v>
      </c>
      <c r="C4" s="8">
        <f t="shared" si="0"/>
        <v>-0.15089176711617536</v>
      </c>
      <c r="D4" s="9">
        <f t="shared" si="1"/>
        <v>-2150.6000000000004</v>
      </c>
    </row>
    <row r="5" spans="1:4" x14ac:dyDescent="0.25">
      <c r="A5" s="1">
        <v>44743</v>
      </c>
      <c r="B5">
        <v>11377</v>
      </c>
      <c r="C5" s="8">
        <f t="shared" si="0"/>
        <v>-5.9907453313501891E-2</v>
      </c>
      <c r="D5" s="9">
        <f t="shared" si="1"/>
        <v>-725</v>
      </c>
    </row>
    <row r="6" spans="1:4" x14ac:dyDescent="0.25">
      <c r="A6" s="1">
        <v>44774</v>
      </c>
      <c r="B6">
        <v>12833</v>
      </c>
      <c r="C6" s="8">
        <f t="shared" si="0"/>
        <v>0.12797749846180895</v>
      </c>
      <c r="D6" s="9">
        <f t="shared" si="1"/>
        <v>1456</v>
      </c>
    </row>
    <row r="7" spans="1:4" x14ac:dyDescent="0.25">
      <c r="A7" s="1">
        <v>44805</v>
      </c>
      <c r="B7">
        <v>8963</v>
      </c>
      <c r="C7" s="8">
        <f t="shared" si="0"/>
        <v>-0.301566274448687</v>
      </c>
      <c r="D7" s="9">
        <f t="shared" si="1"/>
        <v>-3870</v>
      </c>
    </row>
    <row r="8" spans="1:4" x14ac:dyDescent="0.25">
      <c r="A8" s="1">
        <v>44835</v>
      </c>
      <c r="B8">
        <v>14891</v>
      </c>
      <c r="C8" s="8">
        <f t="shared" si="0"/>
        <v>0.66138569675331915</v>
      </c>
      <c r="D8" s="9">
        <f t="shared" si="1"/>
        <v>5928</v>
      </c>
    </row>
    <row r="9" spans="1:4" x14ac:dyDescent="0.25">
      <c r="A9" s="1">
        <v>44866</v>
      </c>
      <c r="B9">
        <v>9739</v>
      </c>
      <c r="C9" s="8">
        <f t="shared" si="0"/>
        <v>-0.3459807937680478</v>
      </c>
      <c r="D9" s="9">
        <f t="shared" si="1"/>
        <v>-5152</v>
      </c>
    </row>
    <row r="10" spans="1:4" x14ac:dyDescent="0.25">
      <c r="A10" s="1">
        <v>44896</v>
      </c>
      <c r="B10">
        <v>14634.4</v>
      </c>
      <c r="C10" s="8">
        <f t="shared" si="0"/>
        <v>0.50265941061710651</v>
      </c>
      <c r="D10" s="9">
        <f t="shared" si="1"/>
        <v>4895.3999999999996</v>
      </c>
    </row>
    <row r="11" spans="1:4" x14ac:dyDescent="0.25">
      <c r="A11" s="1">
        <v>44927</v>
      </c>
      <c r="B11">
        <v>11158</v>
      </c>
      <c r="C11" s="8">
        <f t="shared" si="0"/>
        <v>-0.2375498824687039</v>
      </c>
      <c r="D11" s="9">
        <f t="shared" si="1"/>
        <v>-3476.3999999999996</v>
      </c>
    </row>
    <row r="12" spans="1:4" x14ac:dyDescent="0.25">
      <c r="A12" s="1">
        <v>44958</v>
      </c>
      <c r="B12">
        <v>9007</v>
      </c>
      <c r="C12" s="8">
        <f t="shared" si="0"/>
        <v>-0.19277648324072416</v>
      </c>
      <c r="D12" s="9">
        <f t="shared" si="1"/>
        <v>-2151</v>
      </c>
    </row>
    <row r="13" spans="1:4" x14ac:dyDescent="0.25">
      <c r="A13" s="1">
        <v>44986</v>
      </c>
      <c r="B13">
        <v>8817</v>
      </c>
      <c r="C13" s="8">
        <f t="shared" si="0"/>
        <v>-2.1094704119018592E-2</v>
      </c>
      <c r="D13" s="9">
        <f t="shared" si="1"/>
        <v>-190</v>
      </c>
    </row>
    <row r="14" spans="1:4" x14ac:dyDescent="0.25">
      <c r="A14" s="1">
        <v>45017</v>
      </c>
      <c r="B14">
        <v>10793</v>
      </c>
      <c r="C14" s="8">
        <f t="shared" si="0"/>
        <v>0.22411250992401044</v>
      </c>
      <c r="D14" s="9">
        <f t="shared" si="1"/>
        <v>1976</v>
      </c>
    </row>
    <row r="15" spans="1:4" x14ac:dyDescent="0.25">
      <c r="A15" s="1">
        <v>45047</v>
      </c>
      <c r="B15">
        <v>7788.2</v>
      </c>
      <c r="C15" s="8">
        <f t="shared" si="0"/>
        <v>-0.27840266839618277</v>
      </c>
      <c r="D15" s="9">
        <f t="shared" si="1"/>
        <v>-3004.8</v>
      </c>
    </row>
    <row r="16" spans="1:4" x14ac:dyDescent="0.25">
      <c r="A16" s="1">
        <v>45078</v>
      </c>
      <c r="B16">
        <v>9802</v>
      </c>
      <c r="C16" s="8">
        <f t="shared" si="0"/>
        <v>0.2585706581751881</v>
      </c>
      <c r="D16" s="9">
        <f t="shared" si="1"/>
        <v>2013.8000000000002</v>
      </c>
    </row>
    <row r="17" spans="1:4" x14ac:dyDescent="0.25">
      <c r="A17" s="1">
        <v>45108</v>
      </c>
      <c r="B17">
        <v>12302.95</v>
      </c>
      <c r="C17" s="8">
        <f t="shared" si="0"/>
        <v>0.25514690879412383</v>
      </c>
      <c r="D17" s="9">
        <f t="shared" si="1"/>
        <v>2500.9500000000007</v>
      </c>
    </row>
    <row r="18" spans="1:4" x14ac:dyDescent="0.25">
      <c r="A18" s="1">
        <v>45139</v>
      </c>
      <c r="B18">
        <v>9872</v>
      </c>
      <c r="C18" s="8">
        <f t="shared" si="0"/>
        <v>-0.19759082171349152</v>
      </c>
      <c r="D18" s="9">
        <f t="shared" si="1"/>
        <v>-2430.9500000000007</v>
      </c>
    </row>
    <row r="19" spans="1:4" x14ac:dyDescent="0.25">
      <c r="A19" s="1">
        <v>45170</v>
      </c>
      <c r="B19">
        <v>10177.799999999999</v>
      </c>
      <c r="C19" s="8">
        <f t="shared" si="0"/>
        <v>3.0976499189627082E-2</v>
      </c>
      <c r="D19" s="9">
        <f t="shared" si="1"/>
        <v>305.79999999999927</v>
      </c>
    </row>
    <row r="20" spans="1:4" x14ac:dyDescent="0.25">
      <c r="A20" s="1">
        <v>45200</v>
      </c>
      <c r="B20">
        <v>9929.6</v>
      </c>
      <c r="C20" s="8">
        <f t="shared" si="0"/>
        <v>-2.4386409636660056E-2</v>
      </c>
      <c r="D20" s="9">
        <f t="shared" si="1"/>
        <v>-248.19999999999891</v>
      </c>
    </row>
    <row r="21" spans="1:4" x14ac:dyDescent="0.25">
      <c r="A21" s="1">
        <v>45231</v>
      </c>
      <c r="B21">
        <v>8093</v>
      </c>
      <c r="C21" s="8">
        <f t="shared" si="0"/>
        <v>-0.1849621334192717</v>
      </c>
      <c r="D21" s="9">
        <f t="shared" si="1"/>
        <v>-1836.6000000000004</v>
      </c>
    </row>
    <row r="22" spans="1:4" x14ac:dyDescent="0.25">
      <c r="A22" s="1">
        <v>45261</v>
      </c>
      <c r="B22">
        <v>9762.7999999999993</v>
      </c>
      <c r="C22" s="8">
        <f t="shared" si="0"/>
        <v>0.20632645496107749</v>
      </c>
      <c r="D22" s="9">
        <f t="shared" si="1"/>
        <v>1669.7999999999993</v>
      </c>
    </row>
    <row r="23" spans="1:4" x14ac:dyDescent="0.25">
      <c r="A23" s="1">
        <v>45292</v>
      </c>
      <c r="B23">
        <v>10450.4</v>
      </c>
      <c r="C23" s="8">
        <f t="shared" si="0"/>
        <v>7.0430614168066619E-2</v>
      </c>
      <c r="D23" s="9">
        <f t="shared" si="1"/>
        <v>687.60000000000036</v>
      </c>
    </row>
    <row r="24" spans="1:4" x14ac:dyDescent="0.25">
      <c r="A24" s="1">
        <v>45323</v>
      </c>
      <c r="B24">
        <v>10814.8</v>
      </c>
      <c r="C24" s="8">
        <f t="shared" si="0"/>
        <v>3.4869478680241928E-2</v>
      </c>
      <c r="D24" s="9">
        <f t="shared" si="1"/>
        <v>364.39999999999964</v>
      </c>
    </row>
    <row r="25" spans="1:4" x14ac:dyDescent="0.25">
      <c r="A25" s="1">
        <v>45352</v>
      </c>
      <c r="B25">
        <v>12300.6</v>
      </c>
      <c r="C25" s="8">
        <f t="shared" si="0"/>
        <v>0.13738580463808869</v>
      </c>
      <c r="D25" s="9">
        <f t="shared" si="1"/>
        <v>1485.8000000000011</v>
      </c>
    </row>
    <row r="26" spans="1:4" x14ac:dyDescent="0.25">
      <c r="A26" s="1">
        <v>45383</v>
      </c>
      <c r="B26">
        <v>11211.4</v>
      </c>
      <c r="C26" s="8">
        <f t="shared" si="0"/>
        <v>-8.854852608815833E-2</v>
      </c>
      <c r="D26" s="9">
        <f t="shared" si="1"/>
        <v>-1089.2000000000007</v>
      </c>
    </row>
    <row r="27" spans="1:4" x14ac:dyDescent="0.25">
      <c r="A27" s="1">
        <v>45413</v>
      </c>
      <c r="B27">
        <v>14857.4</v>
      </c>
      <c r="C27" s="8">
        <f t="shared" si="0"/>
        <v>0.32520470235652987</v>
      </c>
      <c r="D27" s="9">
        <f t="shared" si="1"/>
        <v>3646</v>
      </c>
    </row>
    <row r="28" spans="1:4" x14ac:dyDescent="0.25">
      <c r="A28" s="1">
        <v>45444</v>
      </c>
      <c r="B28">
        <v>14204</v>
      </c>
      <c r="C28" s="8">
        <f t="shared" si="0"/>
        <v>-4.3978084994682809E-2</v>
      </c>
      <c r="D28" s="9">
        <f t="shared" si="1"/>
        <v>-653.39999999999964</v>
      </c>
    </row>
    <row r="29" spans="1:4" x14ac:dyDescent="0.25">
      <c r="A29" s="1">
        <v>45474</v>
      </c>
      <c r="B29">
        <v>13283.8</v>
      </c>
      <c r="C29" s="8">
        <f t="shared" si="0"/>
        <v>-6.4784567727400821E-2</v>
      </c>
      <c r="D29" s="9">
        <f t="shared" si="1"/>
        <v>-920.20000000000073</v>
      </c>
    </row>
    <row r="30" spans="1:4" x14ac:dyDescent="0.25">
      <c r="A30" s="1">
        <v>45505</v>
      </c>
      <c r="B30">
        <v>15137.2</v>
      </c>
      <c r="C30" s="8">
        <f t="shared" si="0"/>
        <v>0.13952332916785881</v>
      </c>
      <c r="D30" s="9">
        <f t="shared" si="1"/>
        <v>1853.4000000000015</v>
      </c>
    </row>
    <row r="31" spans="1:4" x14ac:dyDescent="0.25">
      <c r="A31" s="1">
        <v>45536</v>
      </c>
      <c r="B31">
        <v>15817.74</v>
      </c>
      <c r="C31" s="8">
        <f t="shared" si="0"/>
        <v>4.4958116428401418E-2</v>
      </c>
      <c r="D31" s="9">
        <f t="shared" si="1"/>
        <v>680.53999999999905</v>
      </c>
    </row>
    <row r="32" spans="1:4" x14ac:dyDescent="0.25">
      <c r="A32" s="1">
        <v>45566</v>
      </c>
      <c r="B32">
        <v>15841</v>
      </c>
      <c r="C32" s="8">
        <f t="shared" si="0"/>
        <v>1.470500842724709E-3</v>
      </c>
      <c r="D32" s="9">
        <f t="shared" si="1"/>
        <v>23.260000000000218</v>
      </c>
    </row>
    <row r="33" spans="1:5" x14ac:dyDescent="0.25">
      <c r="A33" s="1">
        <v>45597</v>
      </c>
      <c r="B33">
        <v>15700</v>
      </c>
      <c r="C33" s="8">
        <f t="shared" si="0"/>
        <v>-8.9009532226500543E-3</v>
      </c>
      <c r="D33" s="9">
        <f t="shared" si="1"/>
        <v>-141</v>
      </c>
    </row>
    <row r="34" spans="1:5" x14ac:dyDescent="0.25">
      <c r="A34" s="1">
        <v>45627</v>
      </c>
      <c r="B34">
        <v>18149</v>
      </c>
      <c r="C34" s="8">
        <f t="shared" ref="C34:C65" si="2">(B34/B33) - 1</f>
        <v>0.15598726114649675</v>
      </c>
      <c r="D34" s="9">
        <f t="shared" ref="D34:D52" si="3">B34-B33</f>
        <v>2449</v>
      </c>
    </row>
    <row r="35" spans="1:5" x14ac:dyDescent="0.25">
      <c r="A35" s="1">
        <v>45658</v>
      </c>
      <c r="B35">
        <v>21809</v>
      </c>
      <c r="C35" s="8">
        <f t="shared" si="2"/>
        <v>0.20166400352636504</v>
      </c>
      <c r="D35" s="9">
        <f t="shared" si="3"/>
        <v>3660</v>
      </c>
    </row>
    <row r="36" spans="1:5" x14ac:dyDescent="0.25">
      <c r="A36" s="1">
        <v>45689</v>
      </c>
      <c r="B36">
        <v>17880</v>
      </c>
      <c r="C36" s="8">
        <f t="shared" si="2"/>
        <v>-0.18015498188821133</v>
      </c>
      <c r="D36" s="9">
        <f t="shared" si="3"/>
        <v>-3929</v>
      </c>
    </row>
    <row r="37" spans="1:5" x14ac:dyDescent="0.25">
      <c r="A37" s="1">
        <v>45717</v>
      </c>
      <c r="B37">
        <v>18628</v>
      </c>
      <c r="C37" s="8">
        <f t="shared" si="2"/>
        <v>4.1834451901566094E-2</v>
      </c>
      <c r="D37" s="9">
        <f t="shared" si="3"/>
        <v>748</v>
      </c>
    </row>
    <row r="38" spans="1:5" x14ac:dyDescent="0.25">
      <c r="A38" s="1">
        <v>45748</v>
      </c>
      <c r="B38">
        <v>23106</v>
      </c>
      <c r="C38" s="8">
        <f t="shared" si="2"/>
        <v>0.2403908095340348</v>
      </c>
      <c r="D38" s="9">
        <f t="shared" si="3"/>
        <v>4478</v>
      </c>
    </row>
    <row r="39" spans="1:5" x14ac:dyDescent="0.25">
      <c r="A39" s="1">
        <v>45778</v>
      </c>
      <c r="B39">
        <v>24618</v>
      </c>
      <c r="C39" s="8">
        <f t="shared" si="2"/>
        <v>6.5437548688652258E-2</v>
      </c>
      <c r="D39" s="9">
        <f t="shared" si="3"/>
        <v>1512</v>
      </c>
    </row>
    <row r="40" spans="1:5" x14ac:dyDescent="0.25">
      <c r="A40" s="1">
        <v>45809</v>
      </c>
      <c r="B40">
        <v>26736</v>
      </c>
      <c r="C40" s="8">
        <f t="shared" si="2"/>
        <v>8.6034608822812553E-2</v>
      </c>
      <c r="D40" s="9">
        <f t="shared" si="3"/>
        <v>2118</v>
      </c>
    </row>
    <row r="41" spans="1:5" x14ac:dyDescent="0.25">
      <c r="A41" s="4">
        <v>45839</v>
      </c>
      <c r="B41" s="5">
        <v>28697</v>
      </c>
      <c r="C41" s="8">
        <f t="shared" si="2"/>
        <v>7.3346798324356755E-2</v>
      </c>
      <c r="D41" s="10">
        <f t="shared" si="3"/>
        <v>1961</v>
      </c>
      <c r="E41" s="3"/>
    </row>
    <row r="42" spans="1:5" x14ac:dyDescent="0.25">
      <c r="A42" s="4">
        <v>45870</v>
      </c>
      <c r="B42" s="5">
        <v>29438</v>
      </c>
      <c r="C42" s="8">
        <f t="shared" si="2"/>
        <v>2.582151444401859E-2</v>
      </c>
      <c r="D42" s="10">
        <f t="shared" si="3"/>
        <v>741</v>
      </c>
      <c r="E42" s="3"/>
    </row>
    <row r="43" spans="1:5" x14ac:dyDescent="0.25">
      <c r="A43" s="4">
        <v>45901</v>
      </c>
      <c r="B43" s="5">
        <v>30578</v>
      </c>
      <c r="C43" s="8">
        <f t="shared" si="2"/>
        <v>3.8725456892451993E-2</v>
      </c>
      <c r="D43" s="10">
        <f t="shared" si="3"/>
        <v>1140</v>
      </c>
      <c r="E43" s="3"/>
    </row>
    <row r="44" spans="1:5" x14ac:dyDescent="0.25">
      <c r="A44" s="4">
        <v>45931</v>
      </c>
      <c r="B44" s="5">
        <v>32591</v>
      </c>
      <c r="C44" s="8">
        <f t="shared" si="2"/>
        <v>6.5831643665380302E-2</v>
      </c>
      <c r="D44" s="10">
        <f t="shared" si="3"/>
        <v>2013</v>
      </c>
      <c r="E44" s="3"/>
    </row>
    <row r="45" spans="1:5" x14ac:dyDescent="0.25">
      <c r="A45" s="4">
        <v>45962</v>
      </c>
      <c r="B45" s="5">
        <v>33722</v>
      </c>
      <c r="C45" s="8">
        <f t="shared" si="2"/>
        <v>3.4702832070203415E-2</v>
      </c>
      <c r="D45" s="10">
        <f t="shared" si="3"/>
        <v>1131</v>
      </c>
      <c r="E45" s="3"/>
    </row>
    <row r="46" spans="1:5" x14ac:dyDescent="0.25">
      <c r="A46" s="4">
        <v>45992</v>
      </c>
      <c r="B46" s="5">
        <v>35437</v>
      </c>
      <c r="C46" s="8">
        <f t="shared" si="2"/>
        <v>5.0857007294941026E-2</v>
      </c>
      <c r="D46" s="10">
        <f t="shared" si="3"/>
        <v>1715</v>
      </c>
      <c r="E46" s="3"/>
    </row>
    <row r="47" spans="1:5" x14ac:dyDescent="0.25">
      <c r="A47" s="4">
        <v>46023</v>
      </c>
      <c r="B47" s="5">
        <v>36181</v>
      </c>
      <c r="C47" s="8">
        <f t="shared" si="2"/>
        <v>2.0995005220532104E-2</v>
      </c>
      <c r="D47" s="10">
        <f t="shared" si="3"/>
        <v>744</v>
      </c>
      <c r="E47" s="3"/>
    </row>
    <row r="48" spans="1:5" x14ac:dyDescent="0.25">
      <c r="A48" s="4">
        <v>46054</v>
      </c>
      <c r="B48" s="5">
        <v>39133</v>
      </c>
      <c r="C48" s="8">
        <f t="shared" si="2"/>
        <v>8.1589784693623768E-2</v>
      </c>
      <c r="D48" s="10">
        <f t="shared" si="3"/>
        <v>2952</v>
      </c>
      <c r="E48" s="3"/>
    </row>
    <row r="49" spans="1:5" x14ac:dyDescent="0.25">
      <c r="A49" s="4">
        <v>46082</v>
      </c>
      <c r="B49" s="5">
        <v>41207</v>
      </c>
      <c r="C49" s="8">
        <f t="shared" si="2"/>
        <v>5.2998747859862583E-2</v>
      </c>
      <c r="D49" s="10">
        <f t="shared" si="3"/>
        <v>2074</v>
      </c>
      <c r="E49" s="3"/>
    </row>
    <row r="50" spans="1:5" x14ac:dyDescent="0.25">
      <c r="A50" s="4">
        <v>46113</v>
      </c>
      <c r="B50" s="5">
        <v>41912</v>
      </c>
      <c r="C50" s="8">
        <f t="shared" si="2"/>
        <v>1.7108743660057657E-2</v>
      </c>
      <c r="D50" s="10">
        <f t="shared" si="3"/>
        <v>705</v>
      </c>
      <c r="E50" s="3"/>
    </row>
    <row r="51" spans="1:5" x14ac:dyDescent="0.25">
      <c r="A51" s="4">
        <v>46143</v>
      </c>
      <c r="B51" s="5">
        <v>43871</v>
      </c>
      <c r="C51" s="8">
        <f t="shared" si="2"/>
        <v>4.6740790227142615E-2</v>
      </c>
      <c r="D51" s="10">
        <f t="shared" si="3"/>
        <v>1959</v>
      </c>
      <c r="E51" s="3"/>
    </row>
    <row r="52" spans="1:5" x14ac:dyDescent="0.25">
      <c r="A52" s="4">
        <v>46174</v>
      </c>
      <c r="B52" s="5">
        <v>45916</v>
      </c>
      <c r="C52" s="8">
        <f t="shared" si="2"/>
        <v>4.6613936313282034E-2</v>
      </c>
      <c r="D52" s="10">
        <f t="shared" si="3"/>
        <v>2045</v>
      </c>
      <c r="E52" s="3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Godfrey Phillips India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GURUDEV ARADHYE</dc:creator>
  <cp:lastModifiedBy>Lakshaant Tyagi</cp:lastModifiedBy>
  <dcterms:created xsi:type="dcterms:W3CDTF">2025-07-18T09:09:14Z</dcterms:created>
  <dcterms:modified xsi:type="dcterms:W3CDTF">2025-08-06T07:20:47Z</dcterms:modified>
</cp:coreProperties>
</file>